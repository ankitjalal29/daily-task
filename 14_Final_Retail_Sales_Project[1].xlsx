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lSalesData" displayName="FinalSalesData" ref="A1:I51" headerRowCount="1">
  <autoFilter ref="A1:I51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</row>
    <row r="32">
      <c r="A32" s="2" t="n">
        <v>31</v>
      </c>
      <c r="B32" s="2" t="inlineStr">
        <is>
          <t>2026-05-15</t>
        </is>
      </c>
      <c r="C32" s="2" t="inlineStr">
        <is>
          <t>South</t>
        </is>
      </c>
      <c r="D32" s="2" t="inlineStr">
        <is>
          <t>Monitor</t>
        </is>
      </c>
      <c r="E32" s="2" t="inlineStr">
        <is>
          <t>Aman</t>
        </is>
      </c>
      <c r="F32" s="2" t="inlineStr">
        <is>
          <t>Delta Retail</t>
        </is>
      </c>
      <c r="G32" s="2" t="n">
        <v>3</v>
      </c>
      <c r="H32" s="2" t="n">
        <v>14000</v>
      </c>
      <c r="I32" s="2" t="n">
        <v>42000</v>
      </c>
    </row>
    <row r="33">
      <c r="A33" s="2" t="n">
        <v>32</v>
      </c>
      <c r="B33" s="2" t="inlineStr">
        <is>
          <t>2026-01-03</t>
        </is>
      </c>
      <c r="C33" s="2" t="inlineStr">
        <is>
          <t>South</t>
        </is>
      </c>
      <c r="D33" s="2" t="inlineStr">
        <is>
          <t>Headset</t>
        </is>
      </c>
      <c r="E33" s="2" t="inlineStr">
        <is>
          <t>Neha</t>
        </is>
      </c>
      <c r="F33" s="2" t="inlineStr">
        <is>
          <t>Delta Retail</t>
        </is>
      </c>
      <c r="G33" s="2" t="n">
        <v>2</v>
      </c>
      <c r="H33" s="2" t="n">
        <v>2200</v>
      </c>
      <c r="I33" s="2" t="n">
        <v>4400</v>
      </c>
    </row>
    <row r="34">
      <c r="A34" s="2" t="n">
        <v>33</v>
      </c>
      <c r="B34" s="2" t="inlineStr">
        <is>
          <t>2026-07-02</t>
        </is>
      </c>
      <c r="C34" s="2" t="inlineStr">
        <is>
          <t>South</t>
        </is>
      </c>
      <c r="D34" s="2" t="inlineStr">
        <is>
          <t>Monitor</t>
        </is>
      </c>
      <c r="E34" s="2" t="inlineStr">
        <is>
          <t>Priya</t>
        </is>
      </c>
      <c r="F34" s="2" t="inlineStr">
        <is>
          <t>Alpha Traders</t>
        </is>
      </c>
      <c r="G34" s="2" t="n">
        <v>8</v>
      </c>
      <c r="H34" s="2" t="n">
        <v>14000</v>
      </c>
      <c r="I34" s="2" t="n">
        <v>112000</v>
      </c>
    </row>
    <row r="35">
      <c r="A35" s="2" t="n">
        <v>34</v>
      </c>
      <c r="B35" s="2" t="inlineStr">
        <is>
          <t>2026-05-14</t>
        </is>
      </c>
      <c r="C35" s="2" t="inlineStr">
        <is>
          <t>West</t>
        </is>
      </c>
      <c r="D35" s="2" t="inlineStr">
        <is>
          <t>Mouse</t>
        </is>
      </c>
      <c r="E35" s="2" t="inlineStr">
        <is>
          <t>Neha</t>
        </is>
      </c>
      <c r="F35" s="2" t="inlineStr">
        <is>
          <t>Bright Stores</t>
        </is>
      </c>
      <c r="G35" s="2" t="n">
        <v>7</v>
      </c>
      <c r="H35" s="2" t="n">
        <v>900</v>
      </c>
      <c r="I35" s="2" t="n">
        <v>6300</v>
      </c>
    </row>
    <row r="36">
      <c r="A36" s="2" t="n">
        <v>35</v>
      </c>
      <c r="B36" s="2" t="inlineStr">
        <is>
          <t>2026-09-02</t>
        </is>
      </c>
      <c r="C36" s="2" t="inlineStr">
        <is>
          <t>East</t>
        </is>
      </c>
      <c r="D36" s="2" t="inlineStr">
        <is>
          <t>Laptop</t>
        </is>
      </c>
      <c r="E36" s="2" t="inlineStr">
        <is>
          <t>Aman</t>
        </is>
      </c>
      <c r="F36" s="2" t="inlineStr">
        <is>
          <t>Alpha Traders</t>
        </is>
      </c>
      <c r="G36" s="2" t="n">
        <v>5</v>
      </c>
      <c r="H36" s="2" t="n">
        <v>55000</v>
      </c>
      <c r="I36" s="2" t="n">
        <v>275000</v>
      </c>
    </row>
    <row r="37">
      <c r="A37" s="2" t="n">
        <v>36</v>
      </c>
      <c r="B37" s="2" t="inlineStr">
        <is>
          <t>2026-03-02</t>
        </is>
      </c>
      <c r="C37" s="2" t="inlineStr">
        <is>
          <t>North</t>
        </is>
      </c>
      <c r="D37" s="2" t="inlineStr">
        <is>
          <t>Headset</t>
        </is>
      </c>
      <c r="E37" s="2" t="inlineStr">
        <is>
          <t>Neha</t>
        </is>
      </c>
      <c r="F37" s="2" t="inlineStr">
        <is>
          <t>Alpha Traders</t>
        </is>
      </c>
      <c r="G37" s="2" t="n">
        <v>8</v>
      </c>
      <c r="H37" s="2" t="n">
        <v>2200</v>
      </c>
      <c r="I37" s="2" t="n">
        <v>17600</v>
      </c>
    </row>
    <row r="38">
      <c r="A38" s="2" t="n">
        <v>37</v>
      </c>
      <c r="B38" s="2" t="inlineStr">
        <is>
          <t>2026-02-19</t>
        </is>
      </c>
      <c r="C38" s="2" t="inlineStr">
        <is>
          <t>South</t>
        </is>
      </c>
      <c r="D38" s="2" t="inlineStr">
        <is>
          <t>Mouse</t>
        </is>
      </c>
      <c r="E38" s="2" t="inlineStr">
        <is>
          <t>Vikas</t>
        </is>
      </c>
      <c r="F38" s="2" t="inlineStr">
        <is>
          <t>Evergreen Shop</t>
        </is>
      </c>
      <c r="G38" s="2" t="n">
        <v>2</v>
      </c>
      <c r="H38" s="2" t="n">
        <v>900</v>
      </c>
      <c r="I38" s="2" t="n">
        <v>1800</v>
      </c>
    </row>
    <row r="39">
      <c r="A39" s="2" t="n">
        <v>38</v>
      </c>
      <c r="B39" s="2" t="inlineStr">
        <is>
          <t>2026-07-22</t>
        </is>
      </c>
      <c r="C39" s="2" t="inlineStr">
        <is>
          <t>East</t>
        </is>
      </c>
      <c r="D39" s="2" t="inlineStr">
        <is>
          <t>Laptop</t>
        </is>
      </c>
      <c r="E39" s="2" t="inlineStr">
        <is>
          <t>Rahul</t>
        </is>
      </c>
      <c r="F39" s="2" t="inlineStr">
        <is>
          <t>Bright Stores</t>
        </is>
      </c>
      <c r="G39" s="2" t="n">
        <v>1</v>
      </c>
      <c r="H39" s="2" t="n">
        <v>55000</v>
      </c>
      <c r="I39" s="2" t="n">
        <v>55000</v>
      </c>
    </row>
    <row r="40">
      <c r="A40" s="2" t="n">
        <v>39</v>
      </c>
      <c r="B40" s="2" t="inlineStr">
        <is>
          <t>2026-07-05</t>
        </is>
      </c>
      <c r="C40" s="2" t="inlineStr">
        <is>
          <t>East</t>
        </is>
      </c>
      <c r="D40" s="2" t="inlineStr">
        <is>
          <t>Keyboard</t>
        </is>
      </c>
      <c r="E40" s="2" t="inlineStr">
        <is>
          <t>Priya</t>
        </is>
      </c>
      <c r="F40" s="2" t="inlineStr">
        <is>
          <t>City Mart</t>
        </is>
      </c>
      <c r="G40" s="2" t="n">
        <v>6</v>
      </c>
      <c r="H40" s="2" t="n">
        <v>1800</v>
      </c>
      <c r="I40" s="2" t="n">
        <v>10800</v>
      </c>
    </row>
    <row r="41">
      <c r="A41" s="2" t="n">
        <v>40</v>
      </c>
      <c r="B41" s="2" t="inlineStr">
        <is>
          <t>2026-02-03</t>
        </is>
      </c>
      <c r="C41" s="2" t="inlineStr">
        <is>
          <t>South</t>
        </is>
      </c>
      <c r="D41" s="2" t="inlineStr">
        <is>
          <t>Mouse</t>
        </is>
      </c>
      <c r="E41" s="2" t="inlineStr">
        <is>
          <t>Vikas</t>
        </is>
      </c>
      <c r="F41" s="2" t="inlineStr">
        <is>
          <t>City Mart</t>
        </is>
      </c>
      <c r="G41" s="2" t="n">
        <v>2</v>
      </c>
      <c r="H41" s="2" t="n">
        <v>900</v>
      </c>
      <c r="I41" s="2" t="n">
        <v>1800</v>
      </c>
    </row>
    <row r="42">
      <c r="A42" s="2" t="n">
        <v>41</v>
      </c>
      <c r="B42" s="2" t="inlineStr">
        <is>
          <t>2026-04-12</t>
        </is>
      </c>
      <c r="C42" s="2" t="inlineStr">
        <is>
          <t>East</t>
        </is>
      </c>
      <c r="D42" s="2" t="inlineStr">
        <is>
          <t>Laptop</t>
        </is>
      </c>
      <c r="E42" s="2" t="inlineStr">
        <is>
          <t>Neha</t>
        </is>
      </c>
      <c r="F42" s="2" t="inlineStr">
        <is>
          <t>Delta Retail</t>
        </is>
      </c>
      <c r="G42" s="2" t="n">
        <v>3</v>
      </c>
      <c r="H42" s="2" t="n">
        <v>55000</v>
      </c>
      <c r="I42" s="2" t="n">
        <v>165000</v>
      </c>
    </row>
    <row r="43">
      <c r="A43" s="2" t="n">
        <v>42</v>
      </c>
      <c r="B43" s="2" t="inlineStr">
        <is>
          <t>2026-01-22</t>
        </is>
      </c>
      <c r="C43" s="2" t="inlineStr">
        <is>
          <t>East</t>
        </is>
      </c>
      <c r="D43" s="2" t="inlineStr">
        <is>
          <t>Headset</t>
        </is>
      </c>
      <c r="E43" s="2" t="inlineStr">
        <is>
          <t>Aman</t>
        </is>
      </c>
      <c r="F43" s="2" t="inlineStr">
        <is>
          <t>Bright Stores</t>
        </is>
      </c>
      <c r="G43" s="2" t="n">
        <v>5</v>
      </c>
      <c r="H43" s="2" t="n">
        <v>2200</v>
      </c>
      <c r="I43" s="2" t="n">
        <v>11000</v>
      </c>
    </row>
    <row r="44">
      <c r="A44" s="2" t="n">
        <v>43</v>
      </c>
      <c r="B44" s="2" t="inlineStr">
        <is>
          <t>2026-09-05</t>
        </is>
      </c>
      <c r="C44" s="2" t="inlineStr">
        <is>
          <t>East</t>
        </is>
      </c>
      <c r="D44" s="2" t="inlineStr">
        <is>
          <t>Laptop</t>
        </is>
      </c>
      <c r="E44" s="2" t="inlineStr">
        <is>
          <t>Rahul</t>
        </is>
      </c>
      <c r="F44" s="2" t="inlineStr">
        <is>
          <t>Evergreen Shop</t>
        </is>
      </c>
      <c r="G44" s="2" t="n">
        <v>5</v>
      </c>
      <c r="H44" s="2" t="n">
        <v>55000</v>
      </c>
      <c r="I44" s="2" t="n">
        <v>275000</v>
      </c>
    </row>
    <row r="45">
      <c r="A45" s="2" t="n">
        <v>44</v>
      </c>
      <c r="B45" s="2" t="inlineStr">
        <is>
          <t>2026-05-17</t>
        </is>
      </c>
      <c r="C45" s="2" t="inlineStr">
        <is>
          <t>West</t>
        </is>
      </c>
      <c r="D45" s="2" t="inlineStr">
        <is>
          <t>Monitor</t>
        </is>
      </c>
      <c r="E45" s="2" t="inlineStr">
        <is>
          <t>Rahul</t>
        </is>
      </c>
      <c r="F45" s="2" t="inlineStr">
        <is>
          <t>Alpha Traders</t>
        </is>
      </c>
      <c r="G45" s="2" t="n">
        <v>4</v>
      </c>
      <c r="H45" s="2" t="n">
        <v>14000</v>
      </c>
      <c r="I45" s="2" t="n">
        <v>56000</v>
      </c>
    </row>
    <row r="46">
      <c r="A46" s="2" t="n">
        <v>45</v>
      </c>
      <c r="B46" s="2" t="inlineStr">
        <is>
          <t>2026-01-01</t>
        </is>
      </c>
      <c r="C46" s="2" t="inlineStr">
        <is>
          <t>East</t>
        </is>
      </c>
      <c r="D46" s="2" t="inlineStr">
        <is>
          <t>Keyboard</t>
        </is>
      </c>
      <c r="E46" s="2" t="inlineStr">
        <is>
          <t>Neha</t>
        </is>
      </c>
      <c r="F46" s="2" t="inlineStr">
        <is>
          <t>City Mart</t>
        </is>
      </c>
      <c r="G46" s="2" t="n">
        <v>2</v>
      </c>
      <c r="H46" s="2" t="n">
        <v>1800</v>
      </c>
      <c r="I46" s="2" t="n">
        <v>3600</v>
      </c>
    </row>
    <row r="47">
      <c r="A47" s="2" t="n">
        <v>46</v>
      </c>
      <c r="B47" s="2" t="inlineStr">
        <is>
          <t>2026-07-18</t>
        </is>
      </c>
      <c r="C47" s="2" t="inlineStr">
        <is>
          <t>North</t>
        </is>
      </c>
      <c r="D47" s="2" t="inlineStr">
        <is>
          <t>Headset</t>
        </is>
      </c>
      <c r="E47" s="2" t="inlineStr">
        <is>
          <t>Aman</t>
        </is>
      </c>
      <c r="F47" s="2" t="inlineStr">
        <is>
          <t>Alpha Traders</t>
        </is>
      </c>
      <c r="G47" s="2" t="n">
        <v>3</v>
      </c>
      <c r="H47" s="2" t="n">
        <v>2200</v>
      </c>
      <c r="I47" s="2" t="n">
        <v>6600</v>
      </c>
    </row>
    <row r="48">
      <c r="A48" s="2" t="n">
        <v>47</v>
      </c>
      <c r="B48" s="2" t="inlineStr">
        <is>
          <t>2026-06-19</t>
        </is>
      </c>
      <c r="C48" s="2" t="inlineStr">
        <is>
          <t>South</t>
        </is>
      </c>
      <c r="D48" s="2" t="inlineStr">
        <is>
          <t>Laptop</t>
        </is>
      </c>
      <c r="E48" s="2" t="inlineStr">
        <is>
          <t>Priya</t>
        </is>
      </c>
      <c r="F48" s="2" t="inlineStr">
        <is>
          <t>Bright Stores</t>
        </is>
      </c>
      <c r="G48" s="2" t="n">
        <v>3</v>
      </c>
      <c r="H48" s="2" t="n">
        <v>55000</v>
      </c>
      <c r="I48" s="2" t="n">
        <v>165000</v>
      </c>
    </row>
    <row r="49">
      <c r="A49" s="2" t="n">
        <v>48</v>
      </c>
      <c r="B49" s="2" t="inlineStr">
        <is>
          <t>2026-01-12</t>
        </is>
      </c>
      <c r="C49" s="2" t="inlineStr">
        <is>
          <t>South</t>
        </is>
      </c>
      <c r="D49" s="2" t="inlineStr">
        <is>
          <t>Keyboard</t>
        </is>
      </c>
      <c r="E49" s="2" t="inlineStr">
        <is>
          <t>Neha</t>
        </is>
      </c>
      <c r="F49" s="2" t="inlineStr">
        <is>
          <t>Alpha Traders</t>
        </is>
      </c>
      <c r="G49" s="2" t="n">
        <v>1</v>
      </c>
      <c r="H49" s="2" t="n">
        <v>1800</v>
      </c>
      <c r="I49" s="2" t="n">
        <v>1800</v>
      </c>
    </row>
    <row r="50">
      <c r="A50" s="2" t="n">
        <v>49</v>
      </c>
      <c r="B50" s="2" t="inlineStr">
        <is>
          <t>2026-03-08</t>
        </is>
      </c>
      <c r="C50" s="2" t="inlineStr">
        <is>
          <t>South</t>
        </is>
      </c>
      <c r="D50" s="2" t="inlineStr">
        <is>
          <t>Mouse</t>
        </is>
      </c>
      <c r="E50" s="2" t="inlineStr">
        <is>
          <t>Neha</t>
        </is>
      </c>
      <c r="F50" s="2" t="inlineStr">
        <is>
          <t>Delta Retail</t>
        </is>
      </c>
      <c r="G50" s="2" t="n">
        <v>6</v>
      </c>
      <c r="H50" s="2" t="n">
        <v>900</v>
      </c>
      <c r="I50" s="2" t="n">
        <v>5400</v>
      </c>
    </row>
    <row r="51">
      <c r="A51" s="2" t="n">
        <v>50</v>
      </c>
      <c r="B51" s="2" t="inlineStr">
        <is>
          <t>2026-07-26</t>
        </is>
      </c>
      <c r="C51" s="2" t="inlineStr">
        <is>
          <t>South</t>
        </is>
      </c>
      <c r="D51" s="2" t="inlineStr">
        <is>
          <t>Keyboard</t>
        </is>
      </c>
      <c r="E51" s="2" t="inlineStr">
        <is>
          <t>Rahul</t>
        </is>
      </c>
      <c r="F51" s="2" t="inlineStr">
        <is>
          <t>Bright Stores</t>
        </is>
      </c>
      <c r="G51" s="2" t="n">
        <v>1</v>
      </c>
      <c r="H51" s="2" t="n">
        <v>1800</v>
      </c>
      <c r="I51" s="2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Sales</t>
        </is>
      </c>
      <c r="B2" s="2">
        <f>SUM('Raw Data'!I2:I51)</f>
        <v/>
      </c>
    </row>
    <row r="3">
      <c r="A3" s="2" t="inlineStr">
        <is>
          <t>Average Order Value</t>
        </is>
      </c>
      <c r="B3" s="2">
        <f>AVERAGE('Raw Data'!I2:I51)</f>
        <v/>
      </c>
    </row>
    <row r="4">
      <c r="A4" s="2" t="inlineStr">
        <is>
          <t>Highest Order</t>
        </is>
      </c>
      <c r="B4" s="2">
        <f>MAX('Raw Data'!I2:I51)</f>
        <v/>
      </c>
    </row>
    <row r="5">
      <c r="A5" s="2" t="inlineStr">
        <is>
          <t>Total Quantity</t>
        </is>
      </c>
      <c r="B5" s="2">
        <f>SUM('Raw Data'!G2:G51)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FINAL RETAIL SALES ANALYSIS</t>
        </is>
      </c>
    </row>
    <row r="3">
      <c r="A3" t="inlineStr">
        <is>
          <t>Total Sales</t>
        </is>
      </c>
      <c r="B3">
        <f>Calculations!B2</f>
        <v/>
      </c>
      <c r="D3" t="inlineStr">
        <is>
          <t>Average Order</t>
        </is>
      </c>
      <c r="E3">
        <f>Calculations!B3</f>
        <v/>
      </c>
      <c r="G3" t="inlineStr">
        <is>
          <t>Total Quantity</t>
        </is>
      </c>
      <c r="H3">
        <f>Calculations!B5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Region</t>
        </is>
      </c>
      <c r="B1" s="1" t="inlineStr">
        <is>
          <t>Sales</t>
        </is>
      </c>
    </row>
    <row r="2">
      <c r="A2" s="2" t="inlineStr">
        <is>
          <t>North</t>
        </is>
      </c>
      <c r="B2" s="2">
        <f>SUMIF('Raw Data'!C2:C51,A2,'Raw Data'!I2:I51)</f>
        <v/>
      </c>
    </row>
    <row r="3">
      <c r="A3" s="2" t="inlineStr">
        <is>
          <t>South</t>
        </is>
      </c>
      <c r="B3" s="2">
        <f>SUMIF('Raw Data'!C2:C51,A3,'Raw Data'!I2:I51)</f>
        <v/>
      </c>
    </row>
    <row r="4">
      <c r="A4" s="2" t="inlineStr">
        <is>
          <t>East</t>
        </is>
      </c>
      <c r="B4" s="2">
        <f>SUMIF('Raw Data'!C2:C51,A4,'Raw Data'!I2:I51)</f>
        <v/>
      </c>
    </row>
    <row r="5">
      <c r="A5" s="2" t="inlineStr">
        <is>
          <t>West</t>
        </is>
      </c>
      <c r="B5" s="2">
        <f>SUMIF('Raw Data'!C2:C51,A5,'Raw Data'!I2:I51)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Observation</t>
        </is>
      </c>
      <c r="B1" s="1" t="inlineStr">
        <is>
          <t>Detail</t>
        </is>
      </c>
    </row>
    <row r="2">
      <c r="A2" s="2" t="inlineStr">
        <is>
          <t>Sales coverage</t>
        </is>
      </c>
      <c r="B2" s="2" t="inlineStr">
        <is>
          <t>Analysis uses the practice retail-sales dataset.</t>
        </is>
      </c>
    </row>
    <row r="3">
      <c r="A3" s="2" t="inlineStr">
        <is>
          <t>Regional view</t>
        </is>
      </c>
      <c r="B3" s="2" t="inlineStr">
        <is>
          <t>Regional totals are summarized for comparison.</t>
        </is>
      </c>
    </row>
    <row r="4">
      <c r="A4" s="2" t="inlineStr">
        <is>
          <t>Project scope</t>
        </is>
      </c>
      <c r="B4" s="2" t="inlineStr">
        <is>
          <t>Tables, formulas, conditional formatting, summaries and charts are demonstrated.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